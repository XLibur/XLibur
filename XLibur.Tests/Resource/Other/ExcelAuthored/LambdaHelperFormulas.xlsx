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ExcelAuthored\"/>
    </mc:Choice>
  </mc:AlternateContent>
  <xr:revisionPtr revIDLastSave="0" documentId="8_{3A0900AE-5995-4EAC-A4F8-1EFBEA355B7C}" xr6:coauthVersionLast="47" xr6:coauthVersionMax="47" xr10:uidLastSave="{00000000-0000-0000-0000-000000000000}"/>
  <bookViews>
    <workbookView xWindow="40850" yWindow="5670" windowWidth="34560" windowHeight="18600" xr2:uid="{9618796F-DDD6-41F6-8958-30B5C4BEF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85" i="1" l="1" a="1"/>
  <c r="G385" i="1" s="1"/>
  <c r="G379" i="1" a="1"/>
  <c r="G379" i="1" s="1"/>
  <c r="G373" i="1" a="1"/>
  <c r="G373" i="1" s="1"/>
  <c r="G367" i="1" a="1"/>
  <c r="G367" i="1" s="1"/>
  <c r="G361" i="1" a="1"/>
  <c r="G361" i="1" s="1"/>
  <c r="G355" i="1" a="1"/>
  <c r="G355" i="1" s="1"/>
  <c r="G349" i="1" a="1"/>
  <c r="G349" i="1" s="1"/>
  <c r="G343" i="1"/>
  <c r="G337" i="1" a="1"/>
  <c r="G337" i="1" s="1"/>
  <c r="G331" i="1"/>
  <c r="G325" i="1" a="1"/>
  <c r="G325" i="1" s="1"/>
  <c r="G319" i="1" a="1"/>
  <c r="G319" i="1" s="1"/>
  <c r="G313" i="1" a="1"/>
  <c r="G313" i="1" s="1"/>
  <c r="G301" i="1" a="1"/>
  <c r="G301" i="1" s="1"/>
  <c r="G295" i="1" a="1"/>
  <c r="G295" i="1" s="1"/>
  <c r="G289" i="1" a="1"/>
  <c r="G289" i="1" s="1"/>
  <c r="G283" i="1" a="1"/>
  <c r="G283" i="1" s="1"/>
  <c r="G277" i="1" a="1"/>
  <c r="G277" i="1" s="1"/>
  <c r="G271" i="1" a="1"/>
  <c r="G271" i="1" s="1"/>
  <c r="G265" i="1" a="1"/>
  <c r="G265" i="1" s="1"/>
  <c r="G259" i="1"/>
  <c r="G253" i="1" a="1"/>
  <c r="G253" i="1" s="1"/>
  <c r="G247" i="1" a="1"/>
  <c r="G247" i="1" s="1"/>
  <c r="G241" i="1" a="1"/>
  <c r="G241" i="1" s="1"/>
  <c r="G235" i="1" a="1"/>
  <c r="G235" i="1" s="1"/>
  <c r="G229" i="1" a="1"/>
  <c r="G229" i="1" s="1"/>
  <c r="G223" i="1" a="1"/>
  <c r="G223" i="1" s="1"/>
  <c r="G217" i="1" a="1"/>
  <c r="G217" i="1" s="1"/>
  <c r="G211" i="1" a="1"/>
  <c r="G211" i="1" s="1"/>
  <c r="G205" i="1" a="1"/>
  <c r="G205" i="1" s="1"/>
  <c r="G199" i="1" a="1"/>
  <c r="G199" i="1" s="1"/>
  <c r="G193" i="1" a="1"/>
  <c r="G193" i="1" s="1"/>
  <c r="G187" i="1" a="1"/>
  <c r="G187" i="1" s="1"/>
  <c r="G181" i="1" a="1"/>
  <c r="G181" i="1" s="1"/>
  <c r="G175" i="1" a="1"/>
  <c r="G175" i="1" s="1"/>
  <c r="G169" i="1" a="1"/>
  <c r="G169" i="1" s="1"/>
  <c r="G163" i="1" a="1"/>
  <c r="G163" i="1" s="1"/>
  <c r="G157" i="1" a="1"/>
  <c r="G157" i="1" s="1"/>
  <c r="G151" i="1" a="1"/>
  <c r="G151" i="1" s="1"/>
  <c r="G145" i="1" a="1"/>
  <c r="G145" i="1" s="1"/>
  <c r="G139" i="1" a="1"/>
  <c r="G139" i="1" s="1"/>
  <c r="G133" i="1" a="1"/>
  <c r="G133" i="1" s="1"/>
  <c r="G127" i="1" a="1"/>
  <c r="G127" i="1" s="1"/>
  <c r="G121" i="1" a="1"/>
  <c r="G121" i="1" s="1"/>
  <c r="G115" i="1" a="1"/>
  <c r="G115" i="1" s="1"/>
  <c r="G109" i="1" a="1"/>
  <c r="G109" i="1" s="1"/>
  <c r="G103" i="1" a="1"/>
  <c r="G103" i="1" s="1"/>
  <c r="G97" i="1" a="1"/>
  <c r="G97" i="1" s="1"/>
  <c r="G91" i="1" a="1"/>
  <c r="G91" i="1" s="1"/>
  <c r="G85" i="1" a="1"/>
  <c r="G85" i="1" s="1"/>
  <c r="G79" i="1" a="1"/>
  <c r="G79" i="1" s="1"/>
  <c r="G73" i="1" a="1"/>
  <c r="G73" i="1" s="1"/>
  <c r="G67" i="1" a="1"/>
  <c r="G67" i="1" s="1"/>
  <c r="G61" i="1" a="1"/>
  <c r="G61" i="1" s="1"/>
  <c r="G55" i="1" a="1"/>
  <c r="G55" i="1" s="1"/>
  <c r="G49" i="1" a="1"/>
  <c r="G49" i="1" s="1"/>
  <c r="G43" i="1" a="1"/>
  <c r="G43" i="1" s="1"/>
  <c r="G37" i="1" a="1"/>
  <c r="G37" i="1" s="1"/>
  <c r="G31" i="1" a="1"/>
  <c r="G31" i="1" s="1"/>
  <c r="G25" i="1" a="1"/>
  <c r="G25" i="1" s="1"/>
  <c r="G19" i="1" a="1"/>
  <c r="G19" i="1" s="1"/>
  <c r="G13" i="1" a="1"/>
  <c r="G13" i="1" s="1"/>
  <c r="G7" i="1" a="1"/>
  <c r="G7" i="1" s="1"/>
  <c r="G1" i="1" a="1"/>
  <c r="G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13</v>
    <v>1</v>
  </rv>
  <rv s="1">
    <v>2</v>
    <v>1</v>
    <v>19</v>
  </rv>
  <rv s="1">
    <v>2</v>
    <v>2</v>
    <v>19</v>
  </rv>
  <rv s="0">
    <v>13</v>
    <v>2</v>
  </rv>
  <rv s="0">
    <v>13</v>
    <v>24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argument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943E-F735-4A5B-92B8-EDFF3A5F7A1B}">
  <dimension ref="A1:I387"/>
  <sheetViews>
    <sheetView tabSelected="1" workbookViewId="0"/>
  </sheetViews>
  <sheetFormatPr defaultRowHeight="14.4" x14ac:dyDescent="0.3"/>
  <sheetData>
    <row r="1" spans="1:8" x14ac:dyDescent="0.3">
      <c r="A1">
        <v>1</v>
      </c>
      <c r="B1">
        <v>10</v>
      </c>
      <c r="D1">
        <v>1</v>
      </c>
      <c r="E1">
        <v>2</v>
      </c>
      <c r="G1" cm="1">
        <f t="array" ref="G1:G3">_xlfn.MAP(A1:A3,_xlfn.LAMBDA(_xlpm.v,_xlpm.v*2))</f>
        <v>2</v>
      </c>
    </row>
    <row r="2" spans="1:8" x14ac:dyDescent="0.3">
      <c r="A2">
        <v>2</v>
      </c>
      <c r="B2">
        <v>20</v>
      </c>
      <c r="D2">
        <v>3</v>
      </c>
      <c r="E2">
        <v>4</v>
      </c>
      <c r="G2">
        <v>4</v>
      </c>
    </row>
    <row r="3" spans="1:8" x14ac:dyDescent="0.3">
      <c r="A3">
        <v>3</v>
      </c>
      <c r="B3">
        <v>30</v>
      </c>
      <c r="G3">
        <v>6</v>
      </c>
    </row>
    <row r="7" spans="1:8" x14ac:dyDescent="0.3">
      <c r="G7" cm="1">
        <f t="array" ref="G7:G9">_xlfn.MAP(A1:A3,B1:B3,_xlfn.LAMBDA(_xlpm.a,_xlpm.b,_xlpm.a+_xlpm.b))</f>
        <v>11</v>
      </c>
    </row>
    <row r="8" spans="1:8" x14ac:dyDescent="0.3">
      <c r="G8">
        <v>22</v>
      </c>
    </row>
    <row r="9" spans="1:8" x14ac:dyDescent="0.3">
      <c r="G9">
        <v>33</v>
      </c>
    </row>
    <row r="13" spans="1:8" x14ac:dyDescent="0.3">
      <c r="G13" cm="1">
        <f t="array" ref="G13:H14">_xlfn.MAP({1,2;3,4},_xlfn.LAMBDA(_xlpm.v,_xlpm.v*10))</f>
        <v>10</v>
      </c>
      <c r="H13">
        <v>20</v>
      </c>
    </row>
    <row r="14" spans="1:8" x14ac:dyDescent="0.3">
      <c r="G14">
        <v>30</v>
      </c>
      <c r="H14">
        <v>40</v>
      </c>
    </row>
    <row r="19" spans="7:7" x14ac:dyDescent="0.3">
      <c r="G19" t="e" cm="1" vm="1">
        <f t="array" ref="G19">_xlfn.MAP(A1:A3,_xlfn.LAMBDA(_xlpm.v,{1,2}))</f>
        <v>#VALUE!</v>
      </c>
    </row>
    <row r="25" spans="7:7" x14ac:dyDescent="0.3">
      <c r="G25" cm="1">
        <f t="array" ref="G25:G27">_xlfn.MAP(A1:A3,B1:B2,_xlfn.LAMBDA(_xlpm.a,_xlpm.b,_xlpm.a+_xlpm.b))</f>
        <v>11</v>
      </c>
    </row>
    <row r="26" spans="7:7" x14ac:dyDescent="0.3">
      <c r="G26">
        <v>22</v>
      </c>
    </row>
    <row r="27" spans="7:7" x14ac:dyDescent="0.3">
      <c r="G27" t="e">
        <v>#N/A</v>
      </c>
    </row>
    <row r="31" spans="7:7" x14ac:dyDescent="0.3">
      <c r="G31" t="e" cm="1">
        <f t="array" ref="G31">_xlfn.MAP(A1:A3,5)</f>
        <v>#VALUE!</v>
      </c>
    </row>
    <row r="37" spans="7:7" x14ac:dyDescent="0.3">
      <c r="G37" t="e" cm="1" vm="2">
        <f t="array" ref="G37">_xlfn.MAP(A1:A3,_xlfn.LAMBDA(_xlpm.a,_xlpm.b,_xlpm.a))</f>
        <v>#VALUE!</v>
      </c>
    </row>
    <row r="43" spans="7:7" x14ac:dyDescent="0.3">
      <c r="G43" cm="1">
        <f t="array" ref="G43">_xlfn.MAP(5,_xlfn.LAMBDA(_xlpm.v,_xlpm.v+1))</f>
        <v>6</v>
      </c>
    </row>
    <row r="49" spans="7:7" x14ac:dyDescent="0.3">
      <c r="G49" t="b" cm="1">
        <f t="array" ref="G49:G51">_xlfn.MAP(A1:A3,_xlfn.LAMBDA(_xlpm.v,ISREF(_xlpm.v)))</f>
        <v>1</v>
      </c>
    </row>
    <row r="50" spans="7:7" x14ac:dyDescent="0.3">
      <c r="G50" t="b">
        <v>1</v>
      </c>
    </row>
    <row r="51" spans="7:7" x14ac:dyDescent="0.3">
      <c r="G51" t="b">
        <v>1</v>
      </c>
    </row>
    <row r="55" spans="7:7" x14ac:dyDescent="0.3">
      <c r="G55" cm="1">
        <f t="array" ref="G55:G57">_xlfn.MAP(A1:A3,_xlfn.LAMBDA(_xlpm.v,ROW(_xlpm.v)))</f>
        <v>1</v>
      </c>
    </row>
    <row r="56" spans="7:7" x14ac:dyDescent="0.3">
      <c r="G56">
        <v>2</v>
      </c>
    </row>
    <row r="57" spans="7:7" x14ac:dyDescent="0.3">
      <c r="G57">
        <v>3</v>
      </c>
    </row>
    <row r="61" spans="7:7" x14ac:dyDescent="0.3">
      <c r="G61" t="e" cm="1">
        <f t="array" ref="G61:G63">_xlfn.MAP(A1:A3,_xlfn.LAMBDA(_xlpm.v,1/0))</f>
        <v>#DIV/0!</v>
      </c>
    </row>
    <row r="62" spans="7:7" x14ac:dyDescent="0.3">
      <c r="G62" t="e">
        <v>#DIV/0!</v>
      </c>
    </row>
    <row r="63" spans="7:7" x14ac:dyDescent="0.3">
      <c r="G63" t="e">
        <v>#DIV/0!</v>
      </c>
    </row>
    <row r="67" spans="7:7" x14ac:dyDescent="0.3">
      <c r="G67" cm="1">
        <f t="array" ref="G67:G69">_xlfn.MAP(A1:A3,_xlfn.LAMBDA(_xlpm.v,_xlpm.v+$B$1))</f>
        <v>11</v>
      </c>
    </row>
    <row r="68" spans="7:7" x14ac:dyDescent="0.3">
      <c r="G68">
        <v>12</v>
      </c>
    </row>
    <row r="69" spans="7:7" x14ac:dyDescent="0.3">
      <c r="G69">
        <v>13</v>
      </c>
    </row>
    <row r="73" spans="7:7" x14ac:dyDescent="0.3">
      <c r="G73" cm="1">
        <f t="array" ref="G73">_xlfn.REDUCE(0,A1:A3,_xlfn.LAMBDA(_xlpm.acc,_xlpm.v,_xlpm.acc+_xlpm.v))</f>
        <v>6</v>
      </c>
    </row>
    <row r="79" spans="7:7" x14ac:dyDescent="0.3">
      <c r="G79" cm="1">
        <f t="array" ref="G79">_xlfn.REDUCE(,A1:A3,_xlfn.LAMBDA(_xlpm.acc,_xlpm.v,_xlpm.acc+_xlpm.v))</f>
        <v>6</v>
      </c>
    </row>
    <row r="85" spans="7:7" x14ac:dyDescent="0.3">
      <c r="G85" cm="1">
        <f t="array" ref="G85">_xlfn.REDUCE(1,{1,2;3,4},_xlfn.LAMBDA(_xlpm.a,_xlpm.v,_xlpm.a*_xlpm.v))</f>
        <v>24</v>
      </c>
    </row>
    <row r="91" spans="7:7" x14ac:dyDescent="0.3">
      <c r="G91" t="str" cm="1">
        <f t="array" ref="G91">_xlfn.REDUCE("",A1:A3,_xlfn.LAMBDA(_xlpm.a,_xlpm.v,_xlpm.a&amp;_xlpm.v))</f>
        <v>123</v>
      </c>
    </row>
    <row r="97" spans="7:8" x14ac:dyDescent="0.3">
      <c r="G97" cm="1">
        <f t="array" ref="G97">_xlfn.REDUCE(0,A1:A3,_xlfn.LAMBDA(_xlpm.a,_xlpm.v,_xlpm.a+ROW(_xlpm.v)))</f>
        <v>6</v>
      </c>
    </row>
    <row r="103" spans="7:8" x14ac:dyDescent="0.3">
      <c r="G103" t="e" cm="1">
        <f t="array" ref="G103">_xlfn.REDUCE(0,A1:A3,_xlfn.LAMBDA(_xlpm.a,_xlpm.v,IF(_xlpm.v=2,1/0,_xlpm.a+_xlpm.v)))</f>
        <v>#DIV/0!</v>
      </c>
    </row>
    <row r="109" spans="7:8" x14ac:dyDescent="0.3">
      <c r="G109" cm="1">
        <f t="array" ref="G109:H109">_xlfn.REDUCE(0,A1:A3,_xlfn.LAMBDA(_xlpm.a,_xlpm.v,{1,2}))</f>
        <v>1</v>
      </c>
      <c r="H109">
        <v>2</v>
      </c>
    </row>
    <row r="115" spans="7:8" x14ac:dyDescent="0.3">
      <c r="G115" t="e" cm="1" vm="3">
        <f t="array" ref="G115">_xlfn.REDUCE(0,A1:A3,_xlfn.LAMBDA(_xlpm.a,_xlpm.a))</f>
        <v>#VALUE!</v>
      </c>
    </row>
    <row r="121" spans="7:8" x14ac:dyDescent="0.3">
      <c r="G121" cm="1">
        <f t="array" ref="G121:G123">_xlfn.SCAN(0,A1:A3,_xlfn.LAMBDA(_xlpm.a,_xlpm.v,_xlpm.a+_xlpm.v))</f>
        <v>1</v>
      </c>
    </row>
    <row r="122" spans="7:8" x14ac:dyDescent="0.3">
      <c r="G122">
        <v>3</v>
      </c>
    </row>
    <row r="123" spans="7:8" x14ac:dyDescent="0.3">
      <c r="G123">
        <v>6</v>
      </c>
    </row>
    <row r="127" spans="7:8" x14ac:dyDescent="0.3">
      <c r="G127" cm="1">
        <f t="array" ref="G127:H128">_xlfn.SCAN(,{1,2;3,4},_xlfn.LAMBDA(_xlpm.a,_xlpm.v,_xlpm.a+_xlpm.v))</f>
        <v>1</v>
      </c>
      <c r="H127">
        <v>3</v>
      </c>
    </row>
    <row r="128" spans="7:8" x14ac:dyDescent="0.3">
      <c r="G128">
        <v>6</v>
      </c>
      <c r="H128">
        <v>10</v>
      </c>
    </row>
    <row r="133" spans="7:7" x14ac:dyDescent="0.3">
      <c r="G133" t="str" cm="1">
        <f t="array" ref="G133:G135">_xlfn.SCAN("",A1:A3,_xlfn.LAMBDA(_xlpm.a,_xlpm.v,_xlpm.a&amp;_xlpm.v))</f>
        <v>1</v>
      </c>
    </row>
    <row r="134" spans="7:7" x14ac:dyDescent="0.3">
      <c r="G134" t="str">
        <v>12</v>
      </c>
    </row>
    <row r="135" spans="7:7" x14ac:dyDescent="0.3">
      <c r="G135" t="str">
        <v>123</v>
      </c>
    </row>
    <row r="139" spans="7:7" x14ac:dyDescent="0.3">
      <c r="G139" cm="1">
        <f t="array" ref="G139:G140">_xlfn.BYROW(D1:E2,_xlfn.LAMBDA(_xlpm.r,SUM(_xlpm.r)))</f>
        <v>3</v>
      </c>
    </row>
    <row r="140" spans="7:7" x14ac:dyDescent="0.3">
      <c r="G140">
        <v>7</v>
      </c>
    </row>
    <row r="145" spans="7:8" x14ac:dyDescent="0.3">
      <c r="G145" cm="1">
        <f t="array" ref="G145:H145">_xlfn.BYCOL(D1:E2,_xlfn.LAMBDA(_xlpm.c,SUM(_xlpm.c)))</f>
        <v>4</v>
      </c>
      <c r="H145">
        <v>6</v>
      </c>
    </row>
    <row r="151" spans="7:8" x14ac:dyDescent="0.3">
      <c r="G151" t="e" cm="1" vm="4">
        <f t="array" ref="G151">_xlfn.BYROW(D1:E2,_xlfn.LAMBDA(_xlpm.r,_xlpm.r))</f>
        <v>#VALUE!</v>
      </c>
    </row>
    <row r="157" spans="7:8" x14ac:dyDescent="0.3">
      <c r="G157" t="str" cm="1">
        <f t="array" ref="G157:G158">_xlfn.BYROW(D1:E2,_xlfn.LAMBDA(_xlpm.r,ROWS(_xlpm.r)&amp;"x"&amp;COLUMNS(_xlpm.r)))</f>
        <v>1x2</v>
      </c>
    </row>
    <row r="158" spans="7:8" x14ac:dyDescent="0.3">
      <c r="G158" t="str">
        <v>1x2</v>
      </c>
    </row>
    <row r="163" spans="7:7" x14ac:dyDescent="0.3">
      <c r="G163" cm="1">
        <f t="array" ref="G163:G164">_xlfn.BYROW(D1:E2,_xlfn.LAMBDA(_xlpm.r,ROW(_xlpm.r)))</f>
        <v>1</v>
      </c>
    </row>
    <row r="164" spans="7:7" x14ac:dyDescent="0.3">
      <c r="G164">
        <v>2</v>
      </c>
    </row>
    <row r="169" spans="7:7" x14ac:dyDescent="0.3">
      <c r="G169" t="b" cm="1">
        <f t="array" ref="G169:G170">_xlfn.BYROW(D1:E2,_xlfn.LAMBDA(_xlpm.r,ISREF(_xlpm.r)))</f>
        <v>1</v>
      </c>
    </row>
    <row r="170" spans="7:7" x14ac:dyDescent="0.3">
      <c r="G170" t="b">
        <v>1</v>
      </c>
    </row>
    <row r="175" spans="7:7" x14ac:dyDescent="0.3">
      <c r="G175" cm="1">
        <f t="array" ref="G175:G176">_xlfn.BYROW({1,2;3,4},_xlfn.LAMBDA(_xlpm.r,SUM(_xlpm.r)))</f>
        <v>3</v>
      </c>
    </row>
    <row r="176" spans="7:7" x14ac:dyDescent="0.3">
      <c r="G176">
        <v>7</v>
      </c>
    </row>
    <row r="181" spans="7:8" x14ac:dyDescent="0.3">
      <c r="G181" cm="1">
        <f t="array" ref="G181:G182">_xlfn.BYROW(D1:E2,_xleta.SUM)</f>
        <v>3</v>
      </c>
    </row>
    <row r="182" spans="7:8" x14ac:dyDescent="0.3">
      <c r="G182">
        <v>7</v>
      </c>
    </row>
    <row r="187" spans="7:8" x14ac:dyDescent="0.3">
      <c r="G187" cm="1">
        <f t="array" ref="G187:H187">_xlfn.BYCOL(D1:E2,_xlfn.LAMBDA(_xlpm.c,MAX(_xlpm.c)))</f>
        <v>3</v>
      </c>
      <c r="H187">
        <v>4</v>
      </c>
    </row>
    <row r="193" spans="7:9" x14ac:dyDescent="0.3">
      <c r="G193" cm="1">
        <f t="array" ref="G193:I194">_xlfn.MAKEARRAY(2,3,_xlfn.LAMBDA(_xlpm.r,_xlpm.c,_xlpm.r*10+_xlpm.c))</f>
        <v>11</v>
      </c>
      <c r="H193">
        <v>12</v>
      </c>
      <c r="I193">
        <v>13</v>
      </c>
    </row>
    <row r="194" spans="7:9" x14ac:dyDescent="0.3">
      <c r="G194">
        <v>21</v>
      </c>
      <c r="H194">
        <v>22</v>
      </c>
      <c r="I194">
        <v>23</v>
      </c>
    </row>
    <row r="199" spans="7:9" x14ac:dyDescent="0.3">
      <c r="G199" t="e" cm="1">
        <f t="array" ref="G199">_xlfn.MAKEARRAY(0,1,_xlfn.LAMBDA(_xlpm.r,_xlpm.c,1))</f>
        <v>#VALUE!</v>
      </c>
    </row>
    <row r="205" spans="7:9" x14ac:dyDescent="0.3">
      <c r="G205" t="e" cm="1" vm="1">
        <f t="array" ref="G205">_xlfn.MAKEARRAY(2,2,_xlfn.LAMBDA(_xlpm.r,_xlpm.c,{1,2}))</f>
        <v>#VALUE!</v>
      </c>
    </row>
    <row r="211" spans="7:7" x14ac:dyDescent="0.3">
      <c r="G211" t="e" cm="1">
        <f t="array" ref="G211">_xlfn.MAKEARRAY(1.9,2.5,_xlfn.LAMBDA(_xlpm.r,_xlpm.c,_xlpm.r&amp;_xlpm.c))</f>
        <v>#VALUE!</v>
      </c>
    </row>
    <row r="217" spans="7:7" x14ac:dyDescent="0.3">
      <c r="G217" t="e" cm="1" vm="3">
        <f t="array" ref="G217">_xlfn.MAKEARRAY(2,2,_xlfn.LAMBDA(_xlpm.r,_xlpm.r))</f>
        <v>#VALUE!</v>
      </c>
    </row>
    <row r="223" spans="7:7" x14ac:dyDescent="0.3">
      <c r="G223" cm="1">
        <f t="array" ref="G223">_xlfn.LAMBDA(_xlpm.x,_xlop.y,IF(_xlfn.ISOMITTED(_xlpm.y),_xlpm.x,_xlpm.x+_xlpm.y))(1)</f>
        <v>1</v>
      </c>
    </row>
    <row r="229" spans="7:7" x14ac:dyDescent="0.3">
      <c r="G229" cm="1">
        <f t="array" ref="G229">_xlfn.LAMBDA(_xlpm.x,_xlop.y,IF(_xlfn.ISOMITTED(_xlpm.y),_xlpm.x,_xlpm.x+_xlpm.y))(1,2)</f>
        <v>3</v>
      </c>
    </row>
    <row r="235" spans="7:7" x14ac:dyDescent="0.3">
      <c r="G235" cm="1">
        <f t="array" ref="G235">_xlfn.LAMBDA(_xlpm.x,_xlop.y,_xlpm.y)(1)</f>
        <v>0</v>
      </c>
    </row>
    <row r="241" spans="7:7" x14ac:dyDescent="0.3">
      <c r="G241" t="b" cm="1">
        <f t="array" ref="G241">_xlfn.LAMBDA(_xlpm.x,_xlop.y,_xlfn.ISOMITTED(_xlpm.y))(1,)</f>
        <v>1</v>
      </c>
    </row>
    <row r="247" spans="7:7" x14ac:dyDescent="0.3">
      <c r="G247" t="b" cm="1">
        <f t="array" ref="G247">_xlfn.LAMBDA(_xlpm.x,_xlpm.y,_xlfn.ISOMITTED(_xlpm.y))(1,)</f>
        <v>1</v>
      </c>
    </row>
    <row r="253" spans="7:7" x14ac:dyDescent="0.3">
      <c r="G253" t="b" cm="1">
        <f t="array" ref="G253">_xlfn.LAMBDA(_xlpm.x,_xlfn.ISOMITTED(_xlpm.x))(1)</f>
        <v>0</v>
      </c>
    </row>
    <row r="259" spans="7:7" x14ac:dyDescent="0.3">
      <c r="G259" t="b">
        <f>_xlfn.ISOMITTED(A1)</f>
        <v>0</v>
      </c>
    </row>
    <row r="265" spans="7:7" x14ac:dyDescent="0.3">
      <c r="G265" cm="1">
        <f t="array" ref="G265">_xlfn.LAMBDA(_xlop.x,_xlop.y,_xlpm.x)()</f>
        <v>0</v>
      </c>
    </row>
    <row r="271" spans="7:7" x14ac:dyDescent="0.3">
      <c r="G271" cm="1">
        <f t="array" ref="G271">_xlfn.LAMBDA(_xlpm.x,_xlop.y,_xlpm.y+1)(1)</f>
        <v>1</v>
      </c>
    </row>
    <row r="277" spans="7:7" x14ac:dyDescent="0.3">
      <c r="G277" t="e" cm="1" vm="3">
        <f t="array" ref="G277">_xlfn.LAMBDA(_xlpm.x,_xlop.y,_xlpm.x)(1,2,3)</f>
        <v>#VALUE!</v>
      </c>
    </row>
    <row r="283" spans="7:7" x14ac:dyDescent="0.3">
      <c r="G283" t="b" cm="1">
        <f t="array" ref="G283">_xlfn.LAMBDA(_xlpm.x,_xlop.y,ISBLANK(_xlpm.y))(1)</f>
        <v>1</v>
      </c>
    </row>
    <row r="289" spans="7:7" x14ac:dyDescent="0.3">
      <c r="G289" t="str" cm="1">
        <f t="array" ref="G289">_xlfn.LAMBDA(_xlpm.x,_xlop.y,_xlpm.y&amp;"a")(1)</f>
        <v>a</v>
      </c>
    </row>
    <row r="295" spans="7:7" x14ac:dyDescent="0.3">
      <c r="G295" cm="1">
        <f t="array" ref="G295">_xlfn.LET(_xlpm.f,_xlfn.LAMBDA(_xlpm.a,_xlop.b,IF(_xlfn.ISOMITTED(_xlpm.b),_xlpm.a*2,_xlpm.a*_xlpm.b)),_xlpm.f(3)+_xlpm.f(3,4))</f>
        <v>18</v>
      </c>
    </row>
    <row r="301" spans="7:7" x14ac:dyDescent="0.3">
      <c r="G301" t="b" cm="1">
        <f t="array" ref="G301:G303">_xlfn.MAP(A1:A3,_xlfn.LAMBDA(_xlpm.v,_xlop.w,_xlfn.ISOMITTED(_xlpm.w)))</f>
        <v>1</v>
      </c>
    </row>
    <row r="302" spans="7:7" x14ac:dyDescent="0.3">
      <c r="G302" t="b">
        <v>1</v>
      </c>
    </row>
    <row r="303" spans="7:7" x14ac:dyDescent="0.3">
      <c r="G303" t="b">
        <v>1</v>
      </c>
    </row>
    <row r="313" spans="7:7" x14ac:dyDescent="0.3">
      <c r="G313" cm="1">
        <f t="array" ref="G313">SUM(_xlfn.MAP(A1:A3,_xlfn.LAMBDA(_xlpm.v,_xlpm.v*2)))</f>
        <v>12</v>
      </c>
    </row>
    <row r="319" spans="7:7" x14ac:dyDescent="0.3">
      <c r="G319" t="e" cm="1" vm="1">
        <f t="array" ref="G319">_xlfn.MAP(A1:A3,_xlfn.LAMBDA(_xlpm.v,_xlfn.MAP(B1:B3,_xlfn.LAMBDA(_xlpm.w,_xlpm.w+_xlpm.v))))</f>
        <v>#VALUE!</v>
      </c>
    </row>
    <row r="325" spans="7:7" x14ac:dyDescent="0.3">
      <c r="G325" cm="1">
        <f t="array" ref="G325">_xlfn.REDUCE(0,_xlfn.MAP(A1:A3,_xlfn.LAMBDA(_xlpm.v,_xlpm.v*_xlpm.v)),_xlfn.LAMBDA(_xlpm.a,_xlpm.v,_xlpm.a+_xlpm.v))</f>
        <v>14</v>
      </c>
    </row>
    <row r="331" spans="7:7" x14ac:dyDescent="0.3">
      <c r="G331" t="e" vm="5">
        <f>_xleta.SUM</f>
        <v>#VALUE!</v>
      </c>
    </row>
    <row r="337" spans="7:7" x14ac:dyDescent="0.3">
      <c r="G337" cm="1">
        <f t="array" ref="G337">_xlfn.LET(_xlpm.f,_xleta.SUM,_xlpm.f(1,2))</f>
        <v>3</v>
      </c>
    </row>
    <row r="343" spans="7:7" x14ac:dyDescent="0.3">
      <c r="G343" t="b">
        <f>ISERROR(_xleta.SUM)</f>
        <v>0</v>
      </c>
    </row>
    <row r="349" spans="7:7" x14ac:dyDescent="0.3">
      <c r="G349" cm="1">
        <f t="array" ref="G349:G351">_xlfn.MAP(A1:A3,_xleta.ABS)</f>
        <v>1</v>
      </c>
    </row>
    <row r="350" spans="7:7" x14ac:dyDescent="0.3">
      <c r="G350">
        <v>2</v>
      </c>
    </row>
    <row r="351" spans="7:7" x14ac:dyDescent="0.3">
      <c r="G351">
        <v>3</v>
      </c>
    </row>
    <row r="355" spans="7:8" x14ac:dyDescent="0.3">
      <c r="G355" cm="1">
        <f t="array" ref="G355:H355">_xlfn.BYCOL(D1:E2,_xleta.MAX)</f>
        <v>3</v>
      </c>
      <c r="H355">
        <v>4</v>
      </c>
    </row>
    <row r="361" spans="7:8" x14ac:dyDescent="0.3">
      <c r="G361" cm="1">
        <f t="array" ref="G361">_xlfn.REDUCE(0,A1:A3,_xleta.SUM)</f>
        <v>6</v>
      </c>
    </row>
    <row r="367" spans="7:8" x14ac:dyDescent="0.3">
      <c r="G367" cm="1">
        <f t="array" ref="G367:H368">_xlfn.MAKEARRAY(2,2,_xleta.PRODUCT)</f>
        <v>1</v>
      </c>
      <c r="H367">
        <v>2</v>
      </c>
    </row>
    <row r="368" spans="7:8" x14ac:dyDescent="0.3">
      <c r="G368">
        <v>2</v>
      </c>
      <c r="H368">
        <v>4</v>
      </c>
    </row>
    <row r="373" spans="7:7" x14ac:dyDescent="0.3">
      <c r="G373" cm="1">
        <f t="array" ref="G373">_xlfn.LAMBDA(_xlpm.f,_xlpm.f(-3))(_xleta.ABS)</f>
        <v>3</v>
      </c>
    </row>
    <row r="379" spans="7:7" x14ac:dyDescent="0.3">
      <c r="G379" t="e" cm="1">
        <f t="array" ref="G379:G381">_xlfn.MAP(A1:A3,_xleta.IF)</f>
        <v>#VALUE!</v>
      </c>
    </row>
    <row r="380" spans="7:7" x14ac:dyDescent="0.3">
      <c r="G380" t="e">
        <v>#VALUE!</v>
      </c>
    </row>
    <row r="381" spans="7:7" x14ac:dyDescent="0.3">
      <c r="G381" t="e">
        <v>#VALUE!</v>
      </c>
    </row>
    <row r="385" spans="7:7" x14ac:dyDescent="0.3">
      <c r="G385" cm="1">
        <f t="array" ref="G385:G387">_xlfn.MAP(A1:A3,_xlfn.LAMBDA(_xlpm.v,_xlpm.v))+0</f>
        <v>1</v>
      </c>
    </row>
    <row r="386" spans="7:7" x14ac:dyDescent="0.3">
      <c r="G386">
        <v>2</v>
      </c>
    </row>
    <row r="387" spans="7:7" x14ac:dyDescent="0.3">
      <c r="G3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2026-11-01T12:27:05Z</dcterms:created>
  <dcterms:modified xsi:type="dcterms:W3CDTF">2026-11-01T12:27:05Z</dcterms:modified>
</cp:coreProperties>
</file>