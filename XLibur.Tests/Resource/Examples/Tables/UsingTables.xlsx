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4dc90bc3044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2bcb7fb8f142e18df70fbfc6eab34f.psmdcp" Id="R08940c06640c41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 Table" sheetId="1" r:id="rId2"/>
  </x:sheets>
  <x:definedNames/>
  <x:calcPr calcId="125725"/>
</x:workbook>
</file>

<file path=xl/calcChain.xml><?xml version="1.0" encoding="utf-8"?>
<x:calcChain xmlns:x="http://schemas.openxmlformats.org/spreadsheetml/2006/main">
  <x:c r="G3" i="1"/>
  <x:c r="G4" i="1"/>
  <x:c r="G5" i="1"/>
  <x:c r="F6" i="1"/>
  <x:c r="G6" i="1"/>
  <x:c r="I9" i="1"/>
</x:calcChain>
</file>

<file path=xl/sharedStrings.xml><?xml version="1.0" encoding="utf-8"?>
<x:sst xmlns:x="http://schemas.openxmlformats.org/spreadsheetml/2006/main">
  <x:si>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</x:si>
  <x:si>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</x:si>
  <x:si>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</x:si>
  <x:si>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</x:si>
  <x:si>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</x:si>
  <x:si>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</x:si>
  <x:si>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</x:si>
  <x:si>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</x:si>
  <x:si>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</x:si>
  <x:si>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</x:si>
  <x:si>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</x:si>
  <x:si>
    <x:t>Age</x:t>
  </x:si>
  <x:si>
    <x:t>Sum Of Income</x:t>
  </x:si>
  <x:si>
    <x:t>Table Headers</x:t>
  </x:si>
  <x:si>
    <x:t>Names</x:t>
  </x:si>
  <x:si>
    <x:t>John Galt</x:t>
  </x:si>
  <x:si>
    <x:t>Hank Rearden</x:t>
  </x:si>
  <x:si>
    <x:t>Dagny Taggart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</x:si>
</x:sst>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$ #,##0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5" formatCode="d-MMM-yy"/>
    </x:dxf>
    <x:dxf>
      <x:numFmt numFmtId="164" formatCode="$ #,##0"/>
    </x:dxf>
    <x:dxf>
      <x:numFmt numFmtId="165" formatCode="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9" /></Relationships>
</file>

<file path=xl/tables/table1.xml><?xml version="1.0" encoding="utf-8"?>
<x:table xmlns:x="http://schemas.openxmlformats.org/spreadsheetml/2006/main" id="1" name="Table1" displayName="Table1" ref="B2:G6" totalsRowCount="1">
  <x:autoFilter ref="B2:G5"/>
  <x:tableColumns count="6">
    <x:tableColumn id="1" name="FName" totalsRowLabel="Sum Of Income"/>
    <x:tableColumn id="2" name="LName"/>
    <x:tableColumn id="3" name="Outcast"/>
    <x:tableColumn id="4" name="DOB" dataDxfId="0"/>
    <x:tableColumn id="5" name="Income" totalsRowFunction="sum" dataDxfId="1"/>
    <x:tableColumn id="6" name="Age" totalsRowFunction="average" dataDxfId="2">
      <x:calculatedColumnFormula>(DATE(2017, 10, 3) - E3) / 365</x:calculatedColumnFormula>
    </x:tableColumn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eaders" displayName="Headers" ref="I2:I9" totalsRowCount="1">
  <x:tableColumns count="1">
    <x:tableColumn id="1" name="Table Headers" totalsRowFunction="custom">
      <x:totalsRowFormula>CONCATENATE("Count: ", CountA(Headers[Table Headers]))</x:totalsRowFormula>
    </x:tableColumn>
  </x:tableColumns>
  <x:tableStyleInfo name="TableStyleLight10" showFirstColumn="0" showLastColumn="0" showRowStripes="1" showColumnStripes="0"/>
</x:table>
</file>

<file path=xl/tables/table3.xml><?xml version="1.0" encoding="utf-8"?>
<x:table xmlns:x="http://schemas.openxmlformats.org/spreadsheetml/2006/main" id="3" name="Table2" displayName="Table2" ref="K2:K5" totalsRowShown="0">
  <x:tableColumns count="1">
    <x:tableColumn id="1" name="Names"/>
  </x:tableColumns>
  <x:tableStyleInfo name="TableStyleLight1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7" /><Relationship Type="http://schemas.openxmlformats.org/officeDocument/2006/relationships/table" Target="/xl/tables/table3.x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1" width="3.710625" customWidth="1"/>
    <x:col min="2" max="2" width="14.710625" customWidth="1"/>
    <x:col min="3" max="3" width="9.567768" customWidth="1"/>
    <x:col min="4" max="4" width="10.282054" customWidth="1"/>
    <x:col min="5" max="5" width="10.139196" customWidth="1"/>
    <x:col min="6" max="6" width="9.996339" customWidth="1"/>
    <x:col min="7" max="7" width="6.853482" customWidth="1"/>
    <x:col min="8" max="8" width="3.710625" customWidth="1"/>
    <x:col min="9" max="9" width="16.139196" customWidth="1"/>
    <x:col min="10" max="10" width="3.710625" customWidth="1"/>
    <x:col min="11" max="11" width="13.853482" customWidth="1"/>
  </x:cols>
  <x:sheetData>
    <x:row r="2" spans="1:11">
      <x:c r="B2" t="s">
        <x:v>0</x:v>
      </x:c>
      <x:c r="C2" t="s">
        <x:v>4</x:v>
      </x:c>
      <x:c r="D2" t="s">
        <x:v>8</x:v>
      </x:c>
      <x:c r="E2" s="15" t="s">
        <x:v>9</x:v>
      </x:c>
      <x:c r="F2" s="16" t="s">
        <x:v>10</x:v>
      </x:c>
      <x:c r="G2" t="s">
        <x:v>11</x:v>
      </x:c>
      <x:c r="I2" t="s">
        <x:v>13</x:v>
      </x:c>
      <x:c r="K2" t="s">
        <x:v>14</x:v>
      </x:c>
    </x:row>
    <x:row r="3" spans="1:11">
      <x:c r="B3" t="s">
        <x:v>1</x:v>
      </x:c>
      <x:c r="C3" t="s">
        <x:v>5</x:v>
      </x:c>
      <x:c r="D3" t="b">
        <x:v>1</x:v>
      </x:c>
      <x:c r="E3" s="15">
        <x:v>6961</x:v>
      </x:c>
      <x:c r="F3" s="16">
        <x:v>2000</x:v>
      </x:c>
      <x:c r="G3" s="17">
        <x:f>(DATE(2017, 10, 3) - E3) / 365</x:f>
        <x:v>98.76712328767124</x:v>
      </x:c>
      <x:c r="I3" t="s">
        <x:v>0</x:v>
      </x:c>
      <x:c r="K3" t="s">
        <x:v>15</x:v>
      </x:c>
    </x:row>
    <x:row r="4" spans="1:11">
      <x:c r="B4" t="s">
        <x:v>2</x:v>
      </x:c>
      <x:c r="C4" t="s">
        <x:v>6</x:v>
      </x:c>
      <x:c r="D4" t="b">
        <x:v>0</x:v>
      </x:c>
      <x:c r="E4" s="15">
        <x:v>2620</x:v>
      </x:c>
      <x:c r="F4" s="16">
        <x:v>40000</x:v>
      </x:c>
      <x:c r="G4" s="17">
        <x:f>(DATE(2017, 10, 3) - E4) / 365</x:f>
        <x:v>110.66027397260274</x:v>
      </x:c>
      <x:c r="I4" t="s">
        <x:v>4</x:v>
      </x:c>
      <x:c r="K4" t="s">
        <x:v>16</x:v>
      </x:c>
    </x:row>
    <x:row r="5" spans="1:11">
      <x:c r="B5" t="s">
        <x:v>3</x:v>
      </x:c>
      <x:c r="C5" t="s">
        <x:v>7</x:v>
      </x:c>
      <x:c r="D5" t="b">
        <x:v>0</x:v>
      </x:c>
      <x:c r="E5" s="15">
        <x:v>8020</x:v>
      </x:c>
      <x:c r="F5" s="16">
        <x:v>10000</x:v>
      </x:c>
      <x:c r="G5" s="17">
        <x:f>(DATE(2017, 10, 3) - E5) / 365</x:f>
        <x:v>95.86575342465754</x:v>
      </x:c>
      <x:c r="I5" t="s">
        <x:v>8</x:v>
      </x:c>
      <x:c r="K5" t="s">
        <x:v>17</x:v>
      </x:c>
    </x:row>
    <x:row r="6" spans="1:11">
      <x:c r="B6" t="s">
        <x:v>12</x:v>
      </x:c>
      <x:c r="E6" s="15"/>
      <x:c r="F6" s="16">
        <x:f>SUBTOTAL(109,[Income])</x:f>
        <x:v>52000</x:v>
      </x:c>
      <x:c r="G6" s="17">
        <x:f>SUBTOTAL(101,[Age])</x:f>
        <x:v>101.76438356164384</x:v>
      </x:c>
      <x:c r="I6" t="s">
        <x:v>9</x:v>
      </x:c>
    </x:row>
    <x:row r="7" spans="1:11">
      <x:c r="I7" t="s">
        <x:v>10</x:v>
      </x:c>
    </x:row>
    <x:row r="8" spans="1:11">
      <x:c r="I8" t="s">
        <x:v>11</x:v>
      </x:c>
    </x:row>
    <x:row r="9" spans="1:11">
      <x:c r="I9" t="str">
        <x:f>CONCATENATE("Count: ", CountA(Headers[Table Headers]))</x:f>
        <x:v>Count: 6</x:v>
      </x:c>
    </x:row>
  </x:sheetData>
  <x:pageMargins left="0.7" right="0.7" top="0.75" bottom="0.75" header="0.3" footer="0.3"/>
  <x:tableParts count="3">
    <x:tablePart r:id="rId5"/>
    <x:tablePart r:id="rId7"/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 Table</vt:lpstr>
      <vt:lpstr>Contacts Table!Print_Area</vt:lpstr>
      <vt:lpstr>Contacts 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