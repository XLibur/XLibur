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078336aafc40e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d980c845d7a40129c0cadebb0e0b9e0.psmdcp" Id="R615891a85976487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<x:sst xmlns:x="http://schemas.openxmlformats.org/spreadsheetml/2006/main">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</x:sst>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6"/>
  <x:sheetViews>
    <x:sheetView workbookViewId="0"/>
  </x:sheetViews>
  <x:sheetFormatPr defaultRowHeight="15"/>
  <x:cols>
    <x:col min="1" max="1" width="3.710625" customWidth="1"/>
    <x:col min="2" max="2" width="14.710625" customWidth="1"/>
    <x:col min="3" max="3" width="9.567768" customWidth="1"/>
    <x:col min="4" max="4" width="10.282054" customWidth="1"/>
    <x:col min="5" max="5" width="10.139196" customWidth="1"/>
    <x:col min="6" max="6" width="9.996339" customWidth="1"/>
    <x:col min="7" max="7" width="6.853482" customWidth="1"/>
    <x:col min="8" max="8" width="3.710625" customWidth="1"/>
    <x:col min="9" max="9" width="16.139196" customWidth="1"/>
    <x:col min="10" max="10" width="3.710625" customWidth="1"/>
    <x:col min="11" max="11" width="13.853482" customWidth="1"/>
  </x:cols>
  <x:sheetData>
    <x:row r="2" spans="1:11">
      <x:c r="B2" t="s">
        <x:v>0</x:v>
      </x:c>
      <x:c r="C2" t="s">
        <x:v>4</x:v>
      </x:c>
      <x:c r="D2" t="s">
        <x:v>8</x:v>
      </x:c>
      <x:c r="E2" s="15" t="s">
        <x:v>9</x:v>
      </x:c>
      <x:c r="F2" s="16" t="s">
        <x:v>10</x:v>
      </x:c>
      <x:c r="G2" t="s">
        <x:v>11</x:v>
      </x:c>
      <x:c r="I2" t="s">
        <x:v>13</x:v>
      </x:c>
      <x:c r="K2" t="s">
        <x:v>14</x:v>
      </x:c>
    </x:row>
    <x:row r="3" spans="1:11">
      <x:c r="B3" t="s">
        <x:v>1</x:v>
      </x:c>
      <x:c r="C3" t="s">
        <x:v>5</x:v>
      </x:c>
      <x:c r="D3" t="b">
        <x:v>1</x:v>
      </x:c>
      <x:c r="E3" s="15">
        <x:v>6961</x:v>
      </x:c>
      <x:c r="F3" s="16">
        <x:v>2000</x:v>
      </x:c>
      <x:c r="G3" s="17">
        <x:f>(DATE(2017, 10, 3) - E3) / 365</x:f>
        <x:v>98.7671232876712</x:v>
      </x:c>
      <x:c r="I3" t="s">
        <x:v>0</x:v>
      </x:c>
      <x:c r="K3" t="s">
        <x:v>15</x:v>
      </x:c>
    </x:row>
    <x:row r="4" spans="1:11">
      <x:c r="B4" t="s">
        <x:v>2</x:v>
      </x:c>
      <x:c r="C4" t="s">
        <x:v>6</x:v>
      </x:c>
      <x:c r="D4" t="b">
        <x:v>0</x:v>
      </x:c>
      <x:c r="E4" s="15">
        <x:v>2620</x:v>
      </x:c>
      <x:c r="F4" s="16">
        <x:v>40000</x:v>
      </x:c>
      <x:c r="G4" s="17">
        <x:f>(DATE(2017, 10, 3) - E4) / 365</x:f>
        <x:v>110.660273972603</x:v>
      </x:c>
      <x:c r="I4" t="s">
        <x:v>4</x:v>
      </x:c>
      <x:c r="K4" t="s">
        <x:v>16</x:v>
      </x:c>
    </x:row>
    <x:row r="5" spans="1:11">
      <x:c r="B5" t="s">
        <x:v>3</x:v>
      </x:c>
      <x:c r="C5" t="s">
        <x:v>7</x:v>
      </x:c>
      <x:c r="D5" t="b">
        <x:v>0</x:v>
      </x:c>
      <x:c r="E5" s="15">
        <x:v>8020</x:v>
      </x:c>
      <x:c r="F5" s="16">
        <x:v>10000</x:v>
      </x:c>
      <x:c r="G5" s="17">
        <x:f>(DATE(2017, 10, 3) - E5) / 365</x:f>
        <x:v>95.8657534246575</x:v>
      </x:c>
      <x:c r="I5" t="s">
        <x:v>8</x:v>
      </x:c>
      <x:c r="K5" t="s">
        <x:v>17</x:v>
      </x:c>
    </x:row>
    <x:row r="6" spans="1:11">
      <x:c r="B6" t="s">
        <x:v>12</x:v>
      </x:c>
      <x:c r="E6" s="15"/>
      <x:c r="F6" s="16">
        <x:f>SUBTOTAL(109,[Income])</x:f>
      </x:c>
      <x:c r="G6" s="17">
        <x:f>SUBTOTAL(101,[Age])</x:f>
      </x:c>
      <x:c r="I6" t="s">
        <x:v>9</x:v>
      </x:c>
    </x:row>
    <x:row r="7" spans="1:11">
      <x:c r="I7" t="s">
        <x:v>10</x:v>
      </x:c>
    </x:row>
    <x:row r="8" spans="1:11">
      <x:c r="I8" t="s">
        <x:v>11</x:v>
      </x:c>
    </x:row>
    <x:row r="9" spans="1:11">
      <x:c r="I9" t="str">
        <x:f>CONCATENATE("Count: ", CountA(Headers[Table Headers]))</x:f>
      </x:c>
    </x:row>
  </x:sheetData>
  <x:pageMargins left="0.7" right="0.7" top="0.75" bottom="0.75" header="0.3" footer="0.3"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